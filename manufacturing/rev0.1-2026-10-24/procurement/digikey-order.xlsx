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Order calculation" sheetId="2" r:id="rId2"/>
    <sheet name="DigiKey Import" sheetId="3" r:id="rId3"/>
  </sheets>
  <definedNames>
    <definedName name="_xlnm._FilterDatabase" localSheetId="2" hidden="1">'DigiKey Import'!$A$1:$F$35</definedName>
    <definedName name="_xlnm._FilterDatabase" localSheetId="1" hidden="1">'Order calculation'!$A$1:$K$35</definedName>
  </definedNames>
  <calcPr calcId="124519" fullCalcOnLoad="1"/>
</workbook>
</file>

<file path=xl/sharedStrings.xml><?xml version="1.0" encoding="utf-8"?>
<sst xmlns="http://schemas.openxmlformats.org/spreadsheetml/2006/main" count="470" uniqueCount="214">
  <si>
    <t>Setting</t>
  </si>
  <si>
    <t>Value</t>
  </si>
  <si>
    <t>Notes</t>
  </si>
  <si>
    <t>Board count</t>
  </si>
  <si>
    <t>Default: one board; DNP parts purchased but NOT fitted</t>
  </si>
  <si>
    <t>Usage</t>
  </si>
  <si>
    <t>Upload DigiKey Import sheet or supplied CSV.</t>
  </si>
  <si>
    <t>After edits, export that sheet as CSV; supplied CSV remains the one-board baseline.</t>
  </si>
  <si>
    <t>Packaging</t>
  </si>
  <si>
    <t>Same exact MPN, cut tape/single pieces where verified.</t>
  </si>
  <si>
    <t>No substitute MPNs; check live stock and MOQ at order time.</t>
  </si>
  <si>
    <t>MPN</t>
  </si>
  <si>
    <t>DigiKey SKU</t>
  </si>
  <si>
    <t>Qty per board</t>
  </si>
  <si>
    <t>Additional spares</t>
  </si>
  <si>
    <t>Order quantity</t>
  </si>
  <si>
    <t>References</t>
  </si>
  <si>
    <t>Assembly status</t>
  </si>
  <si>
    <t>Manufacturer</t>
  </si>
  <si>
    <t>Original SKU</t>
  </si>
  <si>
    <t>Product URL</t>
  </si>
  <si>
    <t>Verification</t>
  </si>
  <si>
    <t>DigiKey Part Number</t>
  </si>
  <si>
    <t>Quantity</t>
  </si>
  <si>
    <t>Customer Reference</t>
  </si>
  <si>
    <t>Manufacturer Part Number</t>
  </si>
  <si>
    <t>Assembly Status</t>
  </si>
  <si>
    <t>0470.500DRSNP</t>
  </si>
  <si>
    <t>F6622CT-ND</t>
  </si>
  <si>
    <t>F401, F402, F403, F404, F405, F406, F407, F408, F409, F410, F411, F412, F413, F414, F415, F416, F417, F601</t>
  </si>
  <si>
    <t>FIT</t>
  </si>
  <si>
    <t>Littelfuse Inc.</t>
  </si>
  <si>
    <t>https://www.digikey.com/en/products/detail/littelfuse-inc/0470-500DRSNP/5177124</t>
  </si>
  <si>
    <t>MPN and packaging verified</t>
  </si>
  <si>
    <t>7447789222</t>
  </si>
  <si>
    <t>732-4052-1-ND</t>
  </si>
  <si>
    <t>L601</t>
  </si>
  <si>
    <t>Wurth Elektronik</t>
  </si>
  <si>
    <t>732-4052-2-ND</t>
  </si>
  <si>
    <t>https://www.digikey.com/en/products/detail/w%C3%BCrth-elektronik/7447789222/3316854</t>
  </si>
  <si>
    <t>BQ79616PAPRQ1</t>
  </si>
  <si>
    <t>296-BQ79616PAPRQ1CT-ND</t>
  </si>
  <si>
    <t>U201</t>
  </si>
  <si>
    <t>Texas Instruments</t>
  </si>
  <si>
    <t>https://www.digikey.com/en/products/detail/texas-instruments/BQ79616PAPRQ1/13627120</t>
  </si>
  <si>
    <t>C0603C101J5GACAUTO</t>
  </si>
  <si>
    <t>399-6842-1-ND</t>
  </si>
  <si>
    <t>C502, C505</t>
  </si>
  <si>
    <t>KEMET</t>
  </si>
  <si>
    <t>399-6842-2-ND</t>
  </si>
  <si>
    <t>https://www.digikey.com/en/products/detail/kemet/C0603C101J5GACAUTO/3314841</t>
  </si>
  <si>
    <t>C0603C221J5GACAUTO</t>
  </si>
  <si>
    <t>399-6868-1-ND</t>
  </si>
  <si>
    <t>C501, C503, C504, C506</t>
  </si>
  <si>
    <t>399-6868-2-ND</t>
  </si>
  <si>
    <t>https://www.digikey.com/en/products/detail/kemet/C0603C221J5GACAUTO/3314381</t>
  </si>
  <si>
    <t>C1206X103JAGACAUTO</t>
  </si>
  <si>
    <t>399-11912-1-ND</t>
  </si>
  <si>
    <t>C208</t>
  </si>
  <si>
    <t>399-11912-2-ND</t>
  </si>
  <si>
    <t>https://www.digikey.de/en/products/detail/kemet/C1206X103JAGACAUTO/5181841</t>
  </si>
  <si>
    <t>CDSOD323-T15C</t>
  </si>
  <si>
    <t>CDSOD323-T15CCT-ND</t>
  </si>
  <si>
    <t>D501, D502, D503, D504</t>
  </si>
  <si>
    <t>Bourns Inc.</t>
  </si>
  <si>
    <t>CDSOD323-T15CTR-ND</t>
  </si>
  <si>
    <t>https://www.digikey.com/en/products/detail/bourns-inc/CDSOD323-T15C/3742086</t>
  </si>
  <si>
    <t>CGA3E2X7R1H104K080AE</t>
  </si>
  <si>
    <t>445-15957-1-ND</t>
  </si>
  <si>
    <t>C205, C206, C606</t>
  </si>
  <si>
    <t>TDK</t>
  </si>
  <si>
    <t>445-15957-2-ND</t>
  </si>
  <si>
    <t>https://www.digikey.com/en/products/detail/tdk/CGA3E2X7R1H104K080AE/4490594</t>
  </si>
  <si>
    <t>Exact MPN/CT SKU verified. Listing shows zero stock/backorder; regional cached listings disagree. Confirm live stock before ordering.</t>
  </si>
  <si>
    <t>CGA3E3X7R1E474K080AE</t>
  </si>
  <si>
    <t>445-173660-1-ND</t>
  </si>
  <si>
    <t>C301, C302, C303, C304, C305, C306, C307, C308, C309, C310, C311, C312, C313, C314, C315, C316, C317, C318, C319, C320, C321, C322, C323, C324, C325, C326, C327, C328, C329, C330, C331, C332, C333, C334</t>
  </si>
  <si>
    <t>445-173660-2-ND</t>
  </si>
  <si>
    <t>https://www.digikey.com/en/products/detail/tdk/CGA3E3X7R1E474K080AE/5809731</t>
  </si>
  <si>
    <t>CGA6M2X7R2A105K200AE</t>
  </si>
  <si>
    <t>445-173827-1-ND</t>
  </si>
  <si>
    <t>C207</t>
  </si>
  <si>
    <t>445-173827-2-ND</t>
  </si>
  <si>
    <t>https://www.digikey.com/en/products/detail/tdk/CGA6M2X7R2A105K200AE/5809898</t>
  </si>
  <si>
    <t>CRCW06030000Z0EAHP</t>
  </si>
  <si>
    <t>541-0.0SBCT-ND</t>
  </si>
  <si>
    <t>R302, R303, R305, R308, R309, R310, R311, R314, R317, R318, R321, R324, R325, R328, R331, R332, R335, R338, R339, R342, R345, R346, R349, R352, R353, R356, R359, R360</t>
  </si>
  <si>
    <t>PURCHASE, DO NOT POPULATE</t>
  </si>
  <si>
    <t>Vishay Dale</t>
  </si>
  <si>
    <t>541-0.0SBTR-ND</t>
  </si>
  <si>
    <t>https://www.digikey.com/en/products/detail/vishay-dale/CRCW06030000Z0EAHP/2222231</t>
  </si>
  <si>
    <t>DNP - R302, R303, R305, R308, R309, R310, R311, R314, R317, R318, R321, R324, R325, R328, R331, R332, R335, R338, R339, R342, R345, R346, R349, R352, R353, R356, R359, R360</t>
  </si>
  <si>
    <t>CRCW06031K00FKEAHP</t>
  </si>
  <si>
    <t>541-1.00KSCT-ND</t>
  </si>
  <si>
    <t>R211, R212, R213, R214, R215, R216, R217, R218, R502, R505</t>
  </si>
  <si>
    <t>541-1.00KSTR-ND</t>
  </si>
  <si>
    <t>https://www.digikey.com/en/products/detail/vishay-dale/CRCW06031K00FKEAHP/2222766</t>
  </si>
  <si>
    <t>CRCW06031M80FKEA</t>
  </si>
  <si>
    <t>541-1.80MHCT-ND</t>
  </si>
  <si>
    <t>R602</t>
  </si>
  <si>
    <t>541-1.80MHTR-ND</t>
  </si>
  <si>
    <t>https://www.digikey.com/en/products/detail/vishay-dale/CRCW06031M80FKEA/1175037</t>
  </si>
  <si>
    <t>CRCW060349R9FKEAHP</t>
  </si>
  <si>
    <t>541-49.9SCT-ND</t>
  </si>
  <si>
    <t>R501, R503, R504, R506</t>
  </si>
  <si>
    <t>541-49.9STR-ND</t>
  </si>
  <si>
    <t>https://www.digikey.com/en/products/detail/vishay-dale/CRCW060349R9FKEAHP/2222759</t>
  </si>
  <si>
    <t>Exact MPN/CT SKU verified. Listing shows zero stock/backorder; confirm live availability. No substitute selected.</t>
  </si>
  <si>
    <t>CRCW0603620KFKEA</t>
  </si>
  <si>
    <t>541-620KHCT-ND</t>
  </si>
  <si>
    <t>R604</t>
  </si>
  <si>
    <t>541-620KHTR-ND</t>
  </si>
  <si>
    <t>https://www.digikey.com/en/products/detail/vishay-dale/CRCW0603620KFKEA/1180129</t>
  </si>
  <si>
    <t>DNP - R604</t>
  </si>
  <si>
    <t>CRCW080530R0FKEAHP</t>
  </si>
  <si>
    <t>541-CRCW080530R0FKEAHPCT-ND</t>
  </si>
  <si>
    <t>R202</t>
  </si>
  <si>
    <t>541-CRCW080530R0FKEAHPTR-ND</t>
  </si>
  <si>
    <t>https://www.digikey.at/en/products/detail/vishay-dale/CRCW080530R0FKEAHP/18738026</t>
  </si>
  <si>
    <t>CRCW08054R70FKEAHP</t>
  </si>
  <si>
    <t>541-4.70TCT-ND</t>
  </si>
  <si>
    <t>R201, R601</t>
  </si>
  <si>
    <t>541-4.70TTR-ND</t>
  </si>
  <si>
    <t>https://www.digikey.com/en/products/detail/vishay-dale/CRCW08054R70FKEAHP/5326921</t>
  </si>
  <si>
    <t>FZT653QTA</t>
  </si>
  <si>
    <t>31-FZT653QTACT-ND</t>
  </si>
  <si>
    <t>Q201</t>
  </si>
  <si>
    <t>Diodes Incorporated</t>
  </si>
  <si>
    <t>31-FZT653QTATR-ND</t>
  </si>
  <si>
    <t>https://www.digikey.com/en/products/detail/diodes-incorporated/FZT653QTA/16547138</t>
  </si>
  <si>
    <t>GCJ21BR71E105KA12L</t>
  </si>
  <si>
    <t>490-5802-1-ND</t>
  </si>
  <si>
    <t>C203, C204, C209, C210, C211, C212, C213, C214, C215, C216, C217</t>
  </si>
  <si>
    <t>Murata Electronics</t>
  </si>
  <si>
    <t>490-5802-2-ND</t>
  </si>
  <si>
    <t>https://www.digikey.com/en/products/detail/murata-electronics/GCJ21BR71E105KA12L/2783808</t>
  </si>
  <si>
    <t>GCJ21BR71E225KA01K</t>
  </si>
  <si>
    <t>490-GCJ21BR71E225KA01KCT-ND</t>
  </si>
  <si>
    <t>C202</t>
  </si>
  <si>
    <t>490-GCJ21BR71E225KA01KTR-ND</t>
  </si>
  <si>
    <t>https://www.digikey.com/en/products/detail/murata-electronics/GCJ21BR71E225KA01K/13693208</t>
  </si>
  <si>
    <t>GCJ31CR71E475KA12L</t>
  </si>
  <si>
    <t>490-5808-1-ND</t>
  </si>
  <si>
    <t>C201</t>
  </si>
  <si>
    <t>490-5808-2-ND</t>
  </si>
  <si>
    <t>https://www.digikey.com/en/products/detail/murata-electronics/GCJ31CR71E475KA12L/2783810</t>
  </si>
  <si>
    <t>GCM32DC72A475KE02L</t>
  </si>
  <si>
    <t>490-14484-1-ND</t>
  </si>
  <si>
    <t>C601, C602</t>
  </si>
  <si>
    <t>https://www.digikey.com/en/products/detail/murata-electronics/GCM32DC72A475KE02L/6606113</t>
  </si>
  <si>
    <t>LTC3639HMSE#TRPBF</t>
  </si>
  <si>
    <t>505-LTC3639HMSE#TRPBFCT-ND</t>
  </si>
  <si>
    <t>U601</t>
  </si>
  <si>
    <t>Analog Devices Inc.</t>
  </si>
  <si>
    <t>505-LTC3639HMSE#TRPBFTR-ND</t>
  </si>
  <si>
    <t>https://www.digikey.com/en/products/detail/analog-devices-inc/LTC3639HMSE-TRPBF/4071454</t>
  </si>
  <si>
    <t>M80-5001642</t>
  </si>
  <si>
    <t>M80-5001642-ND</t>
  </si>
  <si>
    <t>J201</t>
  </si>
  <si>
    <t>Harwin Inc.</t>
  </si>
  <si>
    <t>https://www.digikey.com/en/products/detail/harwin-inc/M80-5001642/2650311</t>
  </si>
  <si>
    <t>M80-5002042</t>
  </si>
  <si>
    <t>952-1003-5-ND</t>
  </si>
  <si>
    <t>J401</t>
  </si>
  <si>
    <t>https://www.digikey.com/en/products/detail/harwin-inc/M80-5002042/2263992</t>
  </si>
  <si>
    <t>M80-5T10442MC</t>
  </si>
  <si>
    <t>952-3424-ND</t>
  </si>
  <si>
    <t>J501, J502</t>
  </si>
  <si>
    <t>https://www.digikey.com/en/products/detail/harwin-inc/M80-5T10442MC/3923609</t>
  </si>
  <si>
    <t>Exact MPN/SKU verified. Listing shows zero stock; confirm lead time and minimum order before ordering.</t>
  </si>
  <si>
    <t>NCU18XH103F6SRB</t>
  </si>
  <si>
    <t>490-18139-1-ND</t>
  </si>
  <si>
    <t>R219, R220, R221, R222, R223, R224, R225, R226</t>
  </si>
  <si>
    <t>490-18139-2-ND</t>
  </si>
  <si>
    <t>https://www.digikey.com/en/products/detail/murata-electronics/NCU18XH103F6SRB/9681595</t>
  </si>
  <si>
    <t>Exact MPN/CT SKU verified. Listing shows zero stock/backorder. Purchase only: these eight NTC positions remain DNP.</t>
  </si>
  <si>
    <t>DNP - R219, R220, R221, R222, R223, R224, R225, R226</t>
  </si>
  <si>
    <t>QMJ325B7104KNHT</t>
  </si>
  <si>
    <t>587-QMJ325B7104KNHTCT-ND</t>
  </si>
  <si>
    <t>C603, C604, C605</t>
  </si>
  <si>
    <t>Taiyo Yuden</t>
  </si>
  <si>
    <t>587-QMJ325B7104KNHTTR-ND</t>
  </si>
  <si>
    <t>https://www.digikey.com/en/products/detail/taiyo-yuden/QMJ325B7104KNHT/5214850</t>
  </si>
  <si>
    <t>RCL122520R0FKEG</t>
  </si>
  <si>
    <t>541-RCL122520R0FKEGCT-ND</t>
  </si>
  <si>
    <t>R304, R312, R313, R319, R320, R326, R327, R333, R334, R340, R341, R347, R348, R354, R355, R361, R362</t>
  </si>
  <si>
    <t>541-RCL122520R0FKEGTR-ND</t>
  </si>
  <si>
    <t>https://www.digikey.com/en/products/detail/vishay-dale/RCL122520R0FKEG/3029710</t>
  </si>
  <si>
    <t>RG1608P-103-B-T5</t>
  </si>
  <si>
    <t>RG16P10.0KBCT-ND</t>
  </si>
  <si>
    <t>R203, R204, R205, R206, R207, R208, R209, R210</t>
  </si>
  <si>
    <t>Susumu</t>
  </si>
  <si>
    <t>RG16P10.0KBTR-ND</t>
  </si>
  <si>
    <t>https://www.digikey.com/en/products/detail/susumu/RG1608P-103-B-T5/1240835</t>
  </si>
  <si>
    <t>RG1608P-184-B-T5</t>
  </si>
  <si>
    <t>RG16P180KBCT-ND</t>
  </si>
  <si>
    <t>R603</t>
  </si>
  <si>
    <t>RG16P180KBTR-ND</t>
  </si>
  <si>
    <t>https://www.digikey.com/en/products/detail/susumu/RG1608P-184-B-T5/1228889</t>
  </si>
  <si>
    <t>SM91502ALE</t>
  </si>
  <si>
    <t>SM91502ALECT-ND</t>
  </si>
  <si>
    <t>T501, T502</t>
  </si>
  <si>
    <t>SM91502ALETR-ND</t>
  </si>
  <si>
    <t>https://www.digikey.com/en/products/detail/bourns-inc/SM91502ALE/9650128</t>
  </si>
  <si>
    <t>SMBJ12A-Q</t>
  </si>
  <si>
    <t>118-SMBJ12A-QCT-ND</t>
  </si>
  <si>
    <t>D601</t>
  </si>
  <si>
    <t>118-SMBJ12A-QTR-ND</t>
  </si>
  <si>
    <t>https://www.digikey.com/en/products/detail/bourns-inc/SMBJ12A-Q/8276007</t>
  </si>
  <si>
    <t>TNPW0603100RBEEA</t>
  </si>
  <si>
    <t>TNP100AACT-ND</t>
  </si>
  <si>
    <t>R301, R306, R307, R315, R316, R322, R323, R329, R330, R336, R337, R343, R344, R350, R351, R357, R358</t>
  </si>
  <si>
    <t>TNP100AATR-ND</t>
  </si>
  <si>
    <t>https://www.digikey.com/en/products/detail/vishay-dale/TNPW0603100RBEEA/1857056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</si>
</sst>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1" fontId="0" fillId="3" borderId="0" xfId="0" applyNumberForma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littelfuse-inc/0470-500DRSNP/5177124" TargetMode="External"/><Relationship Id="rId2" Type="http://schemas.openxmlformats.org/officeDocument/2006/relationships/hyperlink" Target="https://www.digikey.com/en/products/detail/w%C3%BCrth-elektronik/7447789222/3316854" TargetMode="External"/><Relationship Id="rId3" Type="http://schemas.openxmlformats.org/officeDocument/2006/relationships/hyperlink" Target="https://www.digikey.com/en/products/detail/texas-instruments/BQ79616PAPRQ1/13627120" TargetMode="External"/><Relationship Id="rId4" Type="http://schemas.openxmlformats.org/officeDocument/2006/relationships/hyperlink" Target="https://www.digikey.com/en/products/detail/kemet/C0603C101J5GACAUTO/3314841" TargetMode="External"/><Relationship Id="rId5" Type="http://schemas.openxmlformats.org/officeDocument/2006/relationships/hyperlink" Target="https://www.digikey.com/en/products/detail/kemet/C0603C221J5GACAUTO/3314381" TargetMode="External"/><Relationship Id="rId6" Type="http://schemas.openxmlformats.org/officeDocument/2006/relationships/hyperlink" Target="https://www.digikey.de/en/products/detail/kemet/C1206X103JAGACAUTO/5181841" TargetMode="External"/><Relationship Id="rId7" Type="http://schemas.openxmlformats.org/officeDocument/2006/relationships/hyperlink" Target="https://www.digikey.com/en/products/detail/bourns-inc/CDSOD323-T15C/3742086" TargetMode="External"/><Relationship Id="rId8" Type="http://schemas.openxmlformats.org/officeDocument/2006/relationships/hyperlink" Target="https://www.digikey.com/en/products/detail/tdk/CGA3E2X7R1H104K080AE/4490594" TargetMode="External"/><Relationship Id="rId9" Type="http://schemas.openxmlformats.org/officeDocument/2006/relationships/hyperlink" Target="https://www.digikey.com/en/products/detail/tdk/CGA3E3X7R1E474K080AE/5809731" TargetMode="External"/><Relationship Id="rId10" Type="http://schemas.openxmlformats.org/officeDocument/2006/relationships/hyperlink" Target="https://www.digikey.com/en/products/detail/tdk/CGA6M2X7R2A105K200AE/5809898" TargetMode="External"/><Relationship Id="rId11" Type="http://schemas.openxmlformats.org/officeDocument/2006/relationships/hyperlink" Target="https://www.digikey.com/en/products/detail/vishay-dale/CRCW06030000Z0EAHP/2222231" TargetMode="External"/><Relationship Id="rId12" Type="http://schemas.openxmlformats.org/officeDocument/2006/relationships/hyperlink" Target="https://www.digikey.com/en/products/detail/vishay-dale/CRCW06031K00FKEAHP/2222766" TargetMode="External"/><Relationship Id="rId13" Type="http://schemas.openxmlformats.org/officeDocument/2006/relationships/hyperlink" Target="https://www.digikey.com/en/products/detail/vishay-dale/CRCW06031M80FKEA/1175037" TargetMode="External"/><Relationship Id="rId14" Type="http://schemas.openxmlformats.org/officeDocument/2006/relationships/hyperlink" Target="https://www.digikey.com/en/products/detail/vishay-dale/CRCW060349R9FKEAHP/2222759" TargetMode="External"/><Relationship Id="rId15" Type="http://schemas.openxmlformats.org/officeDocument/2006/relationships/hyperlink" Target="https://www.digikey.com/en/products/detail/vishay-dale/CRCW0603620KFKEA/1180129" TargetMode="External"/><Relationship Id="rId16" Type="http://schemas.openxmlformats.org/officeDocument/2006/relationships/hyperlink" Target="https://www.digikey.at/en/products/detail/vishay-dale/CRCW080530R0FKEAHP/18738026" TargetMode="External"/><Relationship Id="rId17" Type="http://schemas.openxmlformats.org/officeDocument/2006/relationships/hyperlink" Target="https://www.digikey.com/en/products/detail/vishay-dale/CRCW08054R70FKEAHP/5326921" TargetMode="External"/><Relationship Id="rId18" Type="http://schemas.openxmlformats.org/officeDocument/2006/relationships/hyperlink" Target="https://www.digikey.com/en/products/detail/diodes-incorporated/FZT653QTA/16547138" TargetMode="External"/><Relationship Id="rId19" Type="http://schemas.openxmlformats.org/officeDocument/2006/relationships/hyperlink" Target="https://www.digikey.com/en/products/detail/murata-electronics/GCJ21BR71E105KA12L/2783808" TargetMode="External"/><Relationship Id="rId20" Type="http://schemas.openxmlformats.org/officeDocument/2006/relationships/hyperlink" Target="https://www.digikey.com/en/products/detail/murata-electronics/GCJ21BR71E225KA01K/13693208" TargetMode="External"/><Relationship Id="rId21" Type="http://schemas.openxmlformats.org/officeDocument/2006/relationships/hyperlink" Target="https://www.digikey.com/en/products/detail/murata-electronics/GCJ31CR71E475KA12L/2783810" TargetMode="External"/><Relationship Id="rId22" Type="http://schemas.openxmlformats.org/officeDocument/2006/relationships/hyperlink" Target="https://www.digikey.com/en/products/detail/murata-electronics/GCM32DC72A475KE02L/6606113" TargetMode="External"/><Relationship Id="rId23" Type="http://schemas.openxmlformats.org/officeDocument/2006/relationships/hyperlink" Target="https://www.digikey.com/en/products/detail/analog-devices-inc/LTC3639HMSE-TRPBF/4071454" TargetMode="External"/><Relationship Id="rId24" Type="http://schemas.openxmlformats.org/officeDocument/2006/relationships/hyperlink" Target="https://www.digikey.com/en/products/detail/harwin-inc/M80-5001642/2650311" TargetMode="External"/><Relationship Id="rId25" Type="http://schemas.openxmlformats.org/officeDocument/2006/relationships/hyperlink" Target="https://www.digikey.com/en/products/detail/harwin-inc/M80-5002042/2263992" TargetMode="External"/><Relationship Id="rId26" Type="http://schemas.openxmlformats.org/officeDocument/2006/relationships/hyperlink" Target="https://www.digikey.com/en/products/detail/harwin-inc/M80-5T10442MC/3923609" TargetMode="External"/><Relationship Id="rId27" Type="http://schemas.openxmlformats.org/officeDocument/2006/relationships/hyperlink" Target="https://www.digikey.com/en/products/detail/murata-electronics/NCU18XH103F6SRB/9681595" TargetMode="External"/><Relationship Id="rId28" Type="http://schemas.openxmlformats.org/officeDocument/2006/relationships/hyperlink" Target="https://www.digikey.com/en/products/detail/taiyo-yuden/QMJ325B7104KNHT/5214850" TargetMode="External"/><Relationship Id="rId29" Type="http://schemas.openxmlformats.org/officeDocument/2006/relationships/hyperlink" Target="https://www.digikey.com/en/products/detail/vishay-dale/RCL122520R0FKEG/3029710" TargetMode="External"/><Relationship Id="rId30" Type="http://schemas.openxmlformats.org/officeDocument/2006/relationships/hyperlink" Target="https://www.digikey.com/en/products/detail/susumu/RG1608P-103-B-T5/1240835" TargetMode="External"/><Relationship Id="rId31" Type="http://schemas.openxmlformats.org/officeDocument/2006/relationships/hyperlink" Target="https://www.digikey.com/en/products/detail/susumu/RG1608P-184-B-T5/1228889" TargetMode="External"/><Relationship Id="rId32" Type="http://schemas.openxmlformats.org/officeDocument/2006/relationships/hyperlink" Target="https://www.digikey.com/en/products/detail/bourns-inc/SM91502ALE/9650128" TargetMode="External"/><Relationship Id="rId33" Type="http://schemas.openxmlformats.org/officeDocument/2006/relationships/hyperlink" Target="https://www.digikey.com/en/products/detail/bourns-inc/SMBJ12A-Q/8276007" TargetMode="External"/><Relationship Id="rId34" Type="http://schemas.openxmlformats.org/officeDocument/2006/relationships/hyperlink" Target="https://www.digikey.com/en/products/detail/vishay-dale/TNPW0603100RBEEA/1857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7109375" customWidth="1"/>
    <col min="2" max="2" width="65.7109375" customWidth="1"/>
    <col min="3" max="3" width="9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1</v>
      </c>
      <c r="C2" t="s">
        <v>4</v>
      </c>
    </row>
    <row r="4" spans="1:3">
      <c r="A4" t="s">
        <v>5</v>
      </c>
      <c r="B4" t="s">
        <v>6</v>
      </c>
      <c r="C4" t="s">
        <v>7</v>
      </c>
    </row>
    <row r="6" spans="1:3">
      <c r="A6" t="s">
        <v>8</v>
      </c>
      <c r="B6" t="s">
        <v>9</v>
      </c>
      <c r="C6" t="s">
        <v>10</v>
      </c>
    </row>
  </sheetData>
  <dataValidations count="1">
    <dataValidation type="whole" operator="greaterThanOrEqual" allowBlank="1" showInputMessage="1" showErrorMessage="1" sqref="B2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9.7109375" customWidth="1"/>
    <col min="6" max="6" width="75.7109375" customWidth="1"/>
    <col min="7" max="11" width="29.7109375" customWidth="1"/>
  </cols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t="s">
        <v>27</v>
      </c>
      <c r="B2" t="s">
        <v>28</v>
      </c>
      <c r="C2">
        <v>18</v>
      </c>
      <c r="D2" s="2">
        <v>0</v>
      </c>
      <c r="E2">
        <f>C2*Settings!$B$2+D2</f>
        <v>18</v>
      </c>
      <c r="F2" t="s">
        <v>29</v>
      </c>
      <c r="G2" t="s">
        <v>30</v>
      </c>
      <c r="H2" t="s">
        <v>31</v>
      </c>
      <c r="I2" t="s">
        <v>28</v>
      </c>
      <c r="J2" s="3" t="s">
        <v>32</v>
      </c>
      <c r="K2" t="s">
        <v>33</v>
      </c>
    </row>
    <row r="3" spans="1:11">
      <c r="A3" t="s">
        <v>34</v>
      </c>
      <c r="B3" t="s">
        <v>35</v>
      </c>
      <c r="C3">
        <v>1</v>
      </c>
      <c r="D3" s="2">
        <v>0</v>
      </c>
      <c r="E3">
        <f>C3*Settings!$B$2+D3</f>
        <v>1</v>
      </c>
      <c r="F3" t="s">
        <v>36</v>
      </c>
      <c r="G3" t="s">
        <v>30</v>
      </c>
      <c r="H3" t="s">
        <v>37</v>
      </c>
      <c r="I3" t="s">
        <v>38</v>
      </c>
      <c r="J3" s="3" t="s">
        <v>39</v>
      </c>
      <c r="K3" t="s">
        <v>33</v>
      </c>
    </row>
    <row r="4" spans="1:11">
      <c r="A4" t="s">
        <v>40</v>
      </c>
      <c r="B4" t="s">
        <v>41</v>
      </c>
      <c r="C4">
        <v>1</v>
      </c>
      <c r="D4" s="2">
        <v>0</v>
      </c>
      <c r="E4">
        <f>C4*Settings!$B$2+D4</f>
        <v>1</v>
      </c>
      <c r="F4" t="s">
        <v>42</v>
      </c>
      <c r="G4" t="s">
        <v>30</v>
      </c>
      <c r="H4" t="s">
        <v>43</v>
      </c>
      <c r="I4" t="s">
        <v>41</v>
      </c>
      <c r="J4" s="3" t="s">
        <v>44</v>
      </c>
      <c r="K4" t="s">
        <v>33</v>
      </c>
    </row>
    <row r="5" spans="1:11">
      <c r="A5" t="s">
        <v>45</v>
      </c>
      <c r="B5" t="s">
        <v>46</v>
      </c>
      <c r="C5">
        <v>2</v>
      </c>
      <c r="D5" s="2">
        <v>0</v>
      </c>
      <c r="E5">
        <f>C5*Settings!$B$2+D5</f>
        <v>2</v>
      </c>
      <c r="F5" t="s">
        <v>47</v>
      </c>
      <c r="G5" t="s">
        <v>30</v>
      </c>
      <c r="H5" t="s">
        <v>48</v>
      </c>
      <c r="I5" t="s">
        <v>49</v>
      </c>
      <c r="J5" s="3" t="s">
        <v>50</v>
      </c>
      <c r="K5" t="s">
        <v>33</v>
      </c>
    </row>
    <row r="6" spans="1:11">
      <c r="A6" t="s">
        <v>51</v>
      </c>
      <c r="B6" t="s">
        <v>52</v>
      </c>
      <c r="C6">
        <v>4</v>
      </c>
      <c r="D6" s="2">
        <v>0</v>
      </c>
      <c r="E6">
        <f>C6*Settings!$B$2+D6</f>
        <v>4</v>
      </c>
      <c r="F6" t="s">
        <v>53</v>
      </c>
      <c r="G6" t="s">
        <v>30</v>
      </c>
      <c r="H6" t="s">
        <v>48</v>
      </c>
      <c r="I6" t="s">
        <v>54</v>
      </c>
      <c r="J6" s="3" t="s">
        <v>55</v>
      </c>
      <c r="K6" t="s">
        <v>33</v>
      </c>
    </row>
    <row r="7" spans="1:11">
      <c r="A7" t="s">
        <v>56</v>
      </c>
      <c r="B7" t="s">
        <v>57</v>
      </c>
      <c r="C7">
        <v>1</v>
      </c>
      <c r="D7" s="2">
        <v>0</v>
      </c>
      <c r="E7">
        <f>C7*Settings!$B$2+D7</f>
        <v>1</v>
      </c>
      <c r="F7" t="s">
        <v>58</v>
      </c>
      <c r="G7" t="s">
        <v>30</v>
      </c>
      <c r="H7" t="s">
        <v>48</v>
      </c>
      <c r="I7" t="s">
        <v>59</v>
      </c>
      <c r="J7" s="3" t="s">
        <v>60</v>
      </c>
      <c r="K7" t="s">
        <v>33</v>
      </c>
    </row>
    <row r="8" spans="1:11">
      <c r="A8" t="s">
        <v>61</v>
      </c>
      <c r="B8" t="s">
        <v>62</v>
      </c>
      <c r="C8">
        <v>4</v>
      </c>
      <c r="D8" s="2">
        <v>0</v>
      </c>
      <c r="E8">
        <f>C8*Settings!$B$2+D8</f>
        <v>4</v>
      </c>
      <c r="F8" t="s">
        <v>63</v>
      </c>
      <c r="G8" t="s">
        <v>30</v>
      </c>
      <c r="H8" t="s">
        <v>64</v>
      </c>
      <c r="I8" t="s">
        <v>65</v>
      </c>
      <c r="J8" s="3" t="s">
        <v>66</v>
      </c>
      <c r="K8" t="s">
        <v>33</v>
      </c>
    </row>
    <row r="9" spans="1:11">
      <c r="A9" t="s">
        <v>67</v>
      </c>
      <c r="B9" t="s">
        <v>68</v>
      </c>
      <c r="C9">
        <v>3</v>
      </c>
      <c r="D9" s="2">
        <v>0</v>
      </c>
      <c r="E9">
        <f>C9*Settings!$B$2+D9</f>
        <v>3</v>
      </c>
      <c r="F9" t="s">
        <v>69</v>
      </c>
      <c r="G9" t="s">
        <v>30</v>
      </c>
      <c r="H9" t="s">
        <v>70</v>
      </c>
      <c r="I9" t="s">
        <v>71</v>
      </c>
      <c r="J9" s="3" t="s">
        <v>72</v>
      </c>
      <c r="K9" t="s">
        <v>73</v>
      </c>
    </row>
    <row r="10" spans="1:11">
      <c r="A10" t="s">
        <v>74</v>
      </c>
      <c r="B10" t="s">
        <v>75</v>
      </c>
      <c r="C10">
        <v>34</v>
      </c>
      <c r="D10" s="2">
        <v>0</v>
      </c>
      <c r="E10">
        <f>C10*Settings!$B$2+D10</f>
        <v>34</v>
      </c>
      <c r="F10" t="s">
        <v>76</v>
      </c>
      <c r="G10" t="s">
        <v>30</v>
      </c>
      <c r="H10" t="s">
        <v>70</v>
      </c>
      <c r="I10" t="s">
        <v>77</v>
      </c>
      <c r="J10" s="3" t="s">
        <v>78</v>
      </c>
      <c r="K10" t="s">
        <v>33</v>
      </c>
    </row>
    <row r="11" spans="1:11">
      <c r="A11" t="s">
        <v>79</v>
      </c>
      <c r="B11" t="s">
        <v>80</v>
      </c>
      <c r="C11">
        <v>1</v>
      </c>
      <c r="D11" s="2">
        <v>0</v>
      </c>
      <c r="E11">
        <f>C11*Settings!$B$2+D11</f>
        <v>1</v>
      </c>
      <c r="F11" t="s">
        <v>81</v>
      </c>
      <c r="G11" t="s">
        <v>30</v>
      </c>
      <c r="H11" t="s">
        <v>70</v>
      </c>
      <c r="I11" t="s">
        <v>82</v>
      </c>
      <c r="J11" s="3" t="s">
        <v>83</v>
      </c>
      <c r="K11" t="s">
        <v>33</v>
      </c>
    </row>
    <row r="12" spans="1:11">
      <c r="A12" t="s">
        <v>84</v>
      </c>
      <c r="B12" t="s">
        <v>85</v>
      </c>
      <c r="C12">
        <v>28</v>
      </c>
      <c r="D12" s="2">
        <v>0</v>
      </c>
      <c r="E12">
        <f>C12*Settings!$B$2+D12</f>
        <v>28</v>
      </c>
      <c r="F12" t="s">
        <v>86</v>
      </c>
      <c r="G12" t="s">
        <v>87</v>
      </c>
      <c r="H12" t="s">
        <v>88</v>
      </c>
      <c r="I12" t="s">
        <v>89</v>
      </c>
      <c r="J12" s="3" t="s">
        <v>90</v>
      </c>
      <c r="K12" t="s">
        <v>33</v>
      </c>
    </row>
    <row r="13" spans="1:11">
      <c r="A13" t="s">
        <v>92</v>
      </c>
      <c r="B13" t="s">
        <v>93</v>
      </c>
      <c r="C13">
        <v>10</v>
      </c>
      <c r="D13" s="2">
        <v>0</v>
      </c>
      <c r="E13">
        <f>C13*Settings!$B$2+D13</f>
        <v>10</v>
      </c>
      <c r="F13" t="s">
        <v>94</v>
      </c>
      <c r="G13" t="s">
        <v>30</v>
      </c>
      <c r="H13" t="s">
        <v>88</v>
      </c>
      <c r="I13" t="s">
        <v>95</v>
      </c>
      <c r="J13" s="3" t="s">
        <v>96</v>
      </c>
      <c r="K13" t="s">
        <v>33</v>
      </c>
    </row>
    <row r="14" spans="1:11">
      <c r="A14" t="s">
        <v>97</v>
      </c>
      <c r="B14" t="s">
        <v>98</v>
      </c>
      <c r="C14">
        <v>1</v>
      </c>
      <c r="D14" s="2">
        <v>0</v>
      </c>
      <c r="E14">
        <f>C14*Settings!$B$2+D14</f>
        <v>1</v>
      </c>
      <c r="F14" t="s">
        <v>99</v>
      </c>
      <c r="G14" t="s">
        <v>30</v>
      </c>
      <c r="H14" t="s">
        <v>88</v>
      </c>
      <c r="I14" t="s">
        <v>100</v>
      </c>
      <c r="J14" s="3" t="s">
        <v>101</v>
      </c>
      <c r="K14" t="s">
        <v>33</v>
      </c>
    </row>
    <row r="15" spans="1:11">
      <c r="A15" t="s">
        <v>102</v>
      </c>
      <c r="B15" t="s">
        <v>103</v>
      </c>
      <c r="C15">
        <v>4</v>
      </c>
      <c r="D15" s="2">
        <v>0</v>
      </c>
      <c r="E15">
        <f>C15*Settings!$B$2+D15</f>
        <v>4</v>
      </c>
      <c r="F15" t="s">
        <v>104</v>
      </c>
      <c r="G15" t="s">
        <v>30</v>
      </c>
      <c r="H15" t="s">
        <v>88</v>
      </c>
      <c r="I15" t="s">
        <v>105</v>
      </c>
      <c r="J15" s="3" t="s">
        <v>106</v>
      </c>
      <c r="K15" t="s">
        <v>107</v>
      </c>
    </row>
    <row r="16" spans="1:11">
      <c r="A16" t="s">
        <v>108</v>
      </c>
      <c r="B16" t="s">
        <v>109</v>
      </c>
      <c r="C16">
        <v>1</v>
      </c>
      <c r="D16" s="2">
        <v>0</v>
      </c>
      <c r="E16">
        <f>C16*Settings!$B$2+D16</f>
        <v>1</v>
      </c>
      <c r="F16" t="s">
        <v>110</v>
      </c>
      <c r="G16" t="s">
        <v>87</v>
      </c>
      <c r="H16" t="s">
        <v>88</v>
      </c>
      <c r="I16" t="s">
        <v>111</v>
      </c>
      <c r="J16" s="3" t="s">
        <v>112</v>
      </c>
      <c r="K16" t="s">
        <v>33</v>
      </c>
    </row>
    <row r="17" spans="1:11">
      <c r="A17" t="s">
        <v>114</v>
      </c>
      <c r="B17" t="s">
        <v>115</v>
      </c>
      <c r="C17">
        <v>1</v>
      </c>
      <c r="D17" s="2">
        <v>0</v>
      </c>
      <c r="E17">
        <f>C17*Settings!$B$2+D17</f>
        <v>1</v>
      </c>
      <c r="F17" t="s">
        <v>116</v>
      </c>
      <c r="G17" t="s">
        <v>30</v>
      </c>
      <c r="H17" t="s">
        <v>88</v>
      </c>
      <c r="I17" t="s">
        <v>117</v>
      </c>
      <c r="J17" s="3" t="s">
        <v>118</v>
      </c>
      <c r="K17" t="s">
        <v>33</v>
      </c>
    </row>
    <row r="18" spans="1:11">
      <c r="A18" t="s">
        <v>119</v>
      </c>
      <c r="B18" t="s">
        <v>120</v>
      </c>
      <c r="C18">
        <v>2</v>
      </c>
      <c r="D18" s="2">
        <v>0</v>
      </c>
      <c r="E18">
        <f>C18*Settings!$B$2+D18</f>
        <v>2</v>
      </c>
      <c r="F18" t="s">
        <v>121</v>
      </c>
      <c r="G18" t="s">
        <v>30</v>
      </c>
      <c r="H18" t="s">
        <v>88</v>
      </c>
      <c r="I18" t="s">
        <v>122</v>
      </c>
      <c r="J18" s="3" t="s">
        <v>123</v>
      </c>
      <c r="K18" t="s">
        <v>33</v>
      </c>
    </row>
    <row r="19" spans="1:11">
      <c r="A19" t="s">
        <v>124</v>
      </c>
      <c r="B19" t="s">
        <v>125</v>
      </c>
      <c r="C19">
        <v>1</v>
      </c>
      <c r="D19" s="2">
        <v>0</v>
      </c>
      <c r="E19">
        <f>C19*Settings!$B$2+D19</f>
        <v>1</v>
      </c>
      <c r="F19" t="s">
        <v>126</v>
      </c>
      <c r="G19" t="s">
        <v>30</v>
      </c>
      <c r="H19" t="s">
        <v>127</v>
      </c>
      <c r="I19" t="s">
        <v>128</v>
      </c>
      <c r="J19" s="3" t="s">
        <v>129</v>
      </c>
      <c r="K19" t="s">
        <v>33</v>
      </c>
    </row>
    <row r="20" spans="1:11">
      <c r="A20" t="s">
        <v>130</v>
      </c>
      <c r="B20" t="s">
        <v>131</v>
      </c>
      <c r="C20">
        <v>11</v>
      </c>
      <c r="D20" s="2">
        <v>0</v>
      </c>
      <c r="E20">
        <f>C20*Settings!$B$2+D20</f>
        <v>11</v>
      </c>
      <c r="F20" t="s">
        <v>132</v>
      </c>
      <c r="G20" t="s">
        <v>30</v>
      </c>
      <c r="H20" t="s">
        <v>133</v>
      </c>
      <c r="I20" t="s">
        <v>134</v>
      </c>
      <c r="J20" s="3" t="s">
        <v>135</v>
      </c>
      <c r="K20" t="s">
        <v>33</v>
      </c>
    </row>
    <row r="21" spans="1:11">
      <c r="A21" t="s">
        <v>136</v>
      </c>
      <c r="B21" t="s">
        <v>137</v>
      </c>
      <c r="C21">
        <v>1</v>
      </c>
      <c r="D21" s="2">
        <v>0</v>
      </c>
      <c r="E21">
        <f>C21*Settings!$B$2+D21</f>
        <v>1</v>
      </c>
      <c r="F21" t="s">
        <v>138</v>
      </c>
      <c r="G21" t="s">
        <v>30</v>
      </c>
      <c r="H21" t="s">
        <v>133</v>
      </c>
      <c r="I21" t="s">
        <v>139</v>
      </c>
      <c r="J21" s="3" t="s">
        <v>140</v>
      </c>
      <c r="K21" t="s">
        <v>33</v>
      </c>
    </row>
    <row r="22" spans="1:11">
      <c r="A22" t="s">
        <v>141</v>
      </c>
      <c r="B22" t="s">
        <v>142</v>
      </c>
      <c r="C22">
        <v>1</v>
      </c>
      <c r="D22" s="2">
        <v>0</v>
      </c>
      <c r="E22">
        <f>C22*Settings!$B$2+D22</f>
        <v>1</v>
      </c>
      <c r="F22" t="s">
        <v>143</v>
      </c>
      <c r="G22" t="s">
        <v>30</v>
      </c>
      <c r="H22" t="s">
        <v>133</v>
      </c>
      <c r="I22" t="s">
        <v>144</v>
      </c>
      <c r="J22" s="3" t="s">
        <v>145</v>
      </c>
      <c r="K22" t="s">
        <v>33</v>
      </c>
    </row>
    <row r="23" spans="1:11">
      <c r="A23" t="s">
        <v>146</v>
      </c>
      <c r="B23" t="s">
        <v>147</v>
      </c>
      <c r="C23">
        <v>2</v>
      </c>
      <c r="D23" s="2">
        <v>0</v>
      </c>
      <c r="E23">
        <f>C23*Settings!$B$2+D23</f>
        <v>2</v>
      </c>
      <c r="F23" t="s">
        <v>148</v>
      </c>
      <c r="G23" t="s">
        <v>30</v>
      </c>
      <c r="H23" t="s">
        <v>133</v>
      </c>
      <c r="I23" t="s">
        <v>147</v>
      </c>
      <c r="J23" s="3" t="s">
        <v>149</v>
      </c>
      <c r="K23" t="s">
        <v>33</v>
      </c>
    </row>
    <row r="24" spans="1:11">
      <c r="A24" t="s">
        <v>150</v>
      </c>
      <c r="B24" t="s">
        <v>151</v>
      </c>
      <c r="C24">
        <v>1</v>
      </c>
      <c r="D24" s="2">
        <v>0</v>
      </c>
      <c r="E24">
        <f>C24*Settings!$B$2+D24</f>
        <v>1</v>
      </c>
      <c r="F24" t="s">
        <v>152</v>
      </c>
      <c r="G24" t="s">
        <v>30</v>
      </c>
      <c r="H24" t="s">
        <v>153</v>
      </c>
      <c r="I24" t="s">
        <v>154</v>
      </c>
      <c r="J24" s="3" t="s">
        <v>155</v>
      </c>
      <c r="K24" t="s">
        <v>33</v>
      </c>
    </row>
    <row r="25" spans="1:11">
      <c r="A25" t="s">
        <v>156</v>
      </c>
      <c r="B25" t="s">
        <v>157</v>
      </c>
      <c r="C25">
        <v>1</v>
      </c>
      <c r="D25" s="2">
        <v>0</v>
      </c>
      <c r="E25">
        <f>C25*Settings!$B$2+D25</f>
        <v>1</v>
      </c>
      <c r="F25" t="s">
        <v>158</v>
      </c>
      <c r="G25" t="s">
        <v>30</v>
      </c>
      <c r="H25" t="s">
        <v>159</v>
      </c>
      <c r="I25" t="s">
        <v>157</v>
      </c>
      <c r="J25" s="3" t="s">
        <v>160</v>
      </c>
      <c r="K25" t="s">
        <v>33</v>
      </c>
    </row>
    <row r="26" spans="1:11">
      <c r="A26" t="s">
        <v>161</v>
      </c>
      <c r="B26" t="s">
        <v>162</v>
      </c>
      <c r="C26">
        <v>1</v>
      </c>
      <c r="D26" s="2">
        <v>0</v>
      </c>
      <c r="E26">
        <f>C26*Settings!$B$2+D26</f>
        <v>1</v>
      </c>
      <c r="F26" t="s">
        <v>163</v>
      </c>
      <c r="G26" t="s">
        <v>30</v>
      </c>
      <c r="H26" t="s">
        <v>159</v>
      </c>
      <c r="I26" t="s">
        <v>162</v>
      </c>
      <c r="J26" s="3" t="s">
        <v>164</v>
      </c>
      <c r="K26" t="s">
        <v>33</v>
      </c>
    </row>
    <row r="27" spans="1:11">
      <c r="A27" t="s">
        <v>165</v>
      </c>
      <c r="B27" t="s">
        <v>166</v>
      </c>
      <c r="C27">
        <v>2</v>
      </c>
      <c r="D27" s="2">
        <v>0</v>
      </c>
      <c r="E27">
        <f>C27*Settings!$B$2+D27</f>
        <v>2</v>
      </c>
      <c r="F27" t="s">
        <v>167</v>
      </c>
      <c r="G27" t="s">
        <v>30</v>
      </c>
      <c r="H27" t="s">
        <v>159</v>
      </c>
      <c r="I27" t="s">
        <v>166</v>
      </c>
      <c r="J27" s="3" t="s">
        <v>168</v>
      </c>
      <c r="K27" t="s">
        <v>169</v>
      </c>
    </row>
    <row r="28" spans="1:11">
      <c r="A28" t="s">
        <v>170</v>
      </c>
      <c r="B28" t="s">
        <v>171</v>
      </c>
      <c r="C28">
        <v>8</v>
      </c>
      <c r="D28" s="2">
        <v>0</v>
      </c>
      <c r="E28">
        <f>C28*Settings!$B$2+D28</f>
        <v>8</v>
      </c>
      <c r="F28" t="s">
        <v>172</v>
      </c>
      <c r="G28" t="s">
        <v>87</v>
      </c>
      <c r="H28" t="s">
        <v>133</v>
      </c>
      <c r="I28" t="s">
        <v>173</v>
      </c>
      <c r="J28" s="3" t="s">
        <v>174</v>
      </c>
      <c r="K28" t="s">
        <v>175</v>
      </c>
    </row>
    <row r="29" spans="1:11">
      <c r="A29" t="s">
        <v>177</v>
      </c>
      <c r="B29" t="s">
        <v>178</v>
      </c>
      <c r="C29">
        <v>3</v>
      </c>
      <c r="D29" s="2">
        <v>0</v>
      </c>
      <c r="E29">
        <f>C29*Settings!$B$2+D29</f>
        <v>3</v>
      </c>
      <c r="F29" t="s">
        <v>179</v>
      </c>
      <c r="G29" t="s">
        <v>30</v>
      </c>
      <c r="H29" t="s">
        <v>180</v>
      </c>
      <c r="I29" t="s">
        <v>181</v>
      </c>
      <c r="J29" s="3" t="s">
        <v>182</v>
      </c>
      <c r="K29" t="s">
        <v>33</v>
      </c>
    </row>
    <row r="30" spans="1:11">
      <c r="A30" t="s">
        <v>183</v>
      </c>
      <c r="B30" t="s">
        <v>184</v>
      </c>
      <c r="C30">
        <v>17</v>
      </c>
      <c r="D30" s="2">
        <v>0</v>
      </c>
      <c r="E30">
        <f>C30*Settings!$B$2+D30</f>
        <v>17</v>
      </c>
      <c r="F30" t="s">
        <v>185</v>
      </c>
      <c r="G30" t="s">
        <v>30</v>
      </c>
      <c r="H30" t="s">
        <v>88</v>
      </c>
      <c r="I30" t="s">
        <v>186</v>
      </c>
      <c r="J30" s="3" t="s">
        <v>187</v>
      </c>
      <c r="K30" t="s">
        <v>33</v>
      </c>
    </row>
    <row r="31" spans="1:11">
      <c r="A31" t="s">
        <v>188</v>
      </c>
      <c r="B31" t="s">
        <v>189</v>
      </c>
      <c r="C31">
        <v>8</v>
      </c>
      <c r="D31" s="2">
        <v>0</v>
      </c>
      <c r="E31">
        <f>C31*Settings!$B$2+D31</f>
        <v>8</v>
      </c>
      <c r="F31" t="s">
        <v>190</v>
      </c>
      <c r="G31" t="s">
        <v>30</v>
      </c>
      <c r="H31" t="s">
        <v>191</v>
      </c>
      <c r="I31" t="s">
        <v>192</v>
      </c>
      <c r="J31" s="3" t="s">
        <v>193</v>
      </c>
      <c r="K31" t="s">
        <v>33</v>
      </c>
    </row>
    <row r="32" spans="1:11">
      <c r="A32" t="s">
        <v>194</v>
      </c>
      <c r="B32" t="s">
        <v>195</v>
      </c>
      <c r="C32">
        <v>1</v>
      </c>
      <c r="D32" s="2">
        <v>0</v>
      </c>
      <c r="E32">
        <f>C32*Settings!$B$2+D32</f>
        <v>1</v>
      </c>
      <c r="F32" t="s">
        <v>196</v>
      </c>
      <c r="G32" t="s">
        <v>30</v>
      </c>
      <c r="H32" t="s">
        <v>191</v>
      </c>
      <c r="I32" t="s">
        <v>197</v>
      </c>
      <c r="J32" s="3" t="s">
        <v>198</v>
      </c>
      <c r="K32" t="s">
        <v>33</v>
      </c>
    </row>
    <row r="33" spans="1:11">
      <c r="A33" t="s">
        <v>199</v>
      </c>
      <c r="B33" t="s">
        <v>200</v>
      </c>
      <c r="C33">
        <v>2</v>
      </c>
      <c r="D33" s="2">
        <v>0</v>
      </c>
      <c r="E33">
        <f>C33*Settings!$B$2+D33</f>
        <v>2</v>
      </c>
      <c r="F33" t="s">
        <v>201</v>
      </c>
      <c r="G33" t="s">
        <v>30</v>
      </c>
      <c r="H33" t="s">
        <v>64</v>
      </c>
      <c r="I33" t="s">
        <v>202</v>
      </c>
      <c r="J33" s="3" t="s">
        <v>203</v>
      </c>
      <c r="K33" t="s">
        <v>33</v>
      </c>
    </row>
    <row r="34" spans="1:11">
      <c r="A34" t="s">
        <v>204</v>
      </c>
      <c r="B34" t="s">
        <v>205</v>
      </c>
      <c r="C34">
        <v>1</v>
      </c>
      <c r="D34" s="2">
        <v>0</v>
      </c>
      <c r="E34">
        <f>C34*Settings!$B$2+D34</f>
        <v>1</v>
      </c>
      <c r="F34" t="s">
        <v>206</v>
      </c>
      <c r="G34" t="s">
        <v>30</v>
      </c>
      <c r="H34" t="s">
        <v>64</v>
      </c>
      <c r="I34" t="s">
        <v>207</v>
      </c>
      <c r="J34" s="3" t="s">
        <v>208</v>
      </c>
      <c r="K34" t="s">
        <v>33</v>
      </c>
    </row>
    <row r="35" spans="1:11">
      <c r="A35" t="s">
        <v>209</v>
      </c>
      <c r="B35" t="s">
        <v>210</v>
      </c>
      <c r="C35">
        <v>17</v>
      </c>
      <c r="D35" s="2">
        <v>0</v>
      </c>
      <c r="E35">
        <f>C35*Settings!$B$2+D35</f>
        <v>17</v>
      </c>
      <c r="F35" t="s">
        <v>211</v>
      </c>
      <c r="G35" t="s">
        <v>30</v>
      </c>
      <c r="H35" t="s">
        <v>88</v>
      </c>
      <c r="I35" t="s">
        <v>212</v>
      </c>
      <c r="J35" s="3" t="s">
        <v>213</v>
      </c>
      <c r="K35" t="s">
        <v>33</v>
      </c>
    </row>
  </sheetData>
  <autoFilter ref="A1:K35"/>
  <dataValidations count="1">
    <dataValidation type="whole" operator="greaterThanOrEqual" allowBlank="1" showInputMessage="1" showErrorMessage="1" sqref="D2:D35">
      <formula1>0</formula1>
    </dataValidation>
  </dataValidations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29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18</v>
      </c>
      <c r="E1" s="1" t="s">
        <v>25</v>
      </c>
      <c r="F1" s="1" t="s">
        <v>26</v>
      </c>
    </row>
    <row r="2" spans="1:6">
      <c r="A2" t="s">
        <v>28</v>
      </c>
      <c r="B2">
        <f>'Order calculation'!E2</f>
        <v>18</v>
      </c>
      <c r="C2" t="s">
        <v>29</v>
      </c>
      <c r="D2" t="s">
        <v>31</v>
      </c>
      <c r="E2" t="s">
        <v>27</v>
      </c>
      <c r="F2" t="s">
        <v>30</v>
      </c>
    </row>
    <row r="3" spans="1:6">
      <c r="A3" t="s">
        <v>35</v>
      </c>
      <c r="B3">
        <f>'Order calculation'!E3</f>
        <v>1</v>
      </c>
      <c r="C3" t="s">
        <v>36</v>
      </c>
      <c r="D3" t="s">
        <v>37</v>
      </c>
      <c r="E3" t="s">
        <v>34</v>
      </c>
      <c r="F3" t="s">
        <v>30</v>
      </c>
    </row>
    <row r="4" spans="1:6">
      <c r="A4" t="s">
        <v>41</v>
      </c>
      <c r="B4">
        <f>'Order calculation'!E4</f>
        <v>1</v>
      </c>
      <c r="C4" t="s">
        <v>42</v>
      </c>
      <c r="D4" t="s">
        <v>43</v>
      </c>
      <c r="E4" t="s">
        <v>40</v>
      </c>
      <c r="F4" t="s">
        <v>30</v>
      </c>
    </row>
    <row r="5" spans="1:6">
      <c r="A5" t="s">
        <v>46</v>
      </c>
      <c r="B5">
        <f>'Order calculation'!E5</f>
        <v>2</v>
      </c>
      <c r="C5" t="s">
        <v>47</v>
      </c>
      <c r="D5" t="s">
        <v>48</v>
      </c>
      <c r="E5" t="s">
        <v>45</v>
      </c>
      <c r="F5" t="s">
        <v>30</v>
      </c>
    </row>
    <row r="6" spans="1:6">
      <c r="A6" t="s">
        <v>52</v>
      </c>
      <c r="B6">
        <f>'Order calculation'!E6</f>
        <v>4</v>
      </c>
      <c r="C6" t="s">
        <v>53</v>
      </c>
      <c r="D6" t="s">
        <v>48</v>
      </c>
      <c r="E6" t="s">
        <v>51</v>
      </c>
      <c r="F6" t="s">
        <v>30</v>
      </c>
    </row>
    <row r="7" spans="1:6">
      <c r="A7" t="s">
        <v>57</v>
      </c>
      <c r="B7">
        <f>'Order calculation'!E7</f>
        <v>1</v>
      </c>
      <c r="C7" t="s">
        <v>58</v>
      </c>
      <c r="D7" t="s">
        <v>48</v>
      </c>
      <c r="E7" t="s">
        <v>56</v>
      </c>
      <c r="F7" t="s">
        <v>30</v>
      </c>
    </row>
    <row r="8" spans="1:6">
      <c r="A8" t="s">
        <v>62</v>
      </c>
      <c r="B8">
        <f>'Order calculation'!E8</f>
        <v>4</v>
      </c>
      <c r="C8" t="s">
        <v>63</v>
      </c>
      <c r="D8" t="s">
        <v>64</v>
      </c>
      <c r="E8" t="s">
        <v>61</v>
      </c>
      <c r="F8" t="s">
        <v>30</v>
      </c>
    </row>
    <row r="9" spans="1:6">
      <c r="A9" t="s">
        <v>68</v>
      </c>
      <c r="B9">
        <f>'Order calculation'!E9</f>
        <v>3</v>
      </c>
      <c r="C9" t="s">
        <v>69</v>
      </c>
      <c r="D9" t="s">
        <v>70</v>
      </c>
      <c r="E9" t="s">
        <v>67</v>
      </c>
      <c r="F9" t="s">
        <v>30</v>
      </c>
    </row>
    <row r="10" spans="1:6">
      <c r="A10" t="s">
        <v>75</v>
      </c>
      <c r="B10">
        <f>'Order calculation'!E10</f>
        <v>34</v>
      </c>
      <c r="C10" t="s">
        <v>76</v>
      </c>
      <c r="D10" t="s">
        <v>70</v>
      </c>
      <c r="E10" t="s">
        <v>74</v>
      </c>
      <c r="F10" t="s">
        <v>30</v>
      </c>
    </row>
    <row r="11" spans="1:6">
      <c r="A11" t="s">
        <v>80</v>
      </c>
      <c r="B11">
        <f>'Order calculation'!E11</f>
        <v>1</v>
      </c>
      <c r="C11" t="s">
        <v>81</v>
      </c>
      <c r="D11" t="s">
        <v>70</v>
      </c>
      <c r="E11" t="s">
        <v>79</v>
      </c>
      <c r="F11" t="s">
        <v>30</v>
      </c>
    </row>
    <row r="12" spans="1:6">
      <c r="A12" t="s">
        <v>85</v>
      </c>
      <c r="B12">
        <f>'Order calculation'!E12</f>
        <v>28</v>
      </c>
      <c r="C12" t="s">
        <v>91</v>
      </c>
      <c r="D12" t="s">
        <v>88</v>
      </c>
      <c r="E12" t="s">
        <v>84</v>
      </c>
      <c r="F12" t="s">
        <v>87</v>
      </c>
    </row>
    <row r="13" spans="1:6">
      <c r="A13" t="s">
        <v>93</v>
      </c>
      <c r="B13">
        <f>'Order calculation'!E13</f>
        <v>10</v>
      </c>
      <c r="C13" t="s">
        <v>94</v>
      </c>
      <c r="D13" t="s">
        <v>88</v>
      </c>
      <c r="E13" t="s">
        <v>92</v>
      </c>
      <c r="F13" t="s">
        <v>30</v>
      </c>
    </row>
    <row r="14" spans="1:6">
      <c r="A14" t="s">
        <v>98</v>
      </c>
      <c r="B14">
        <f>'Order calculation'!E14</f>
        <v>1</v>
      </c>
      <c r="C14" t="s">
        <v>99</v>
      </c>
      <c r="D14" t="s">
        <v>88</v>
      </c>
      <c r="E14" t="s">
        <v>97</v>
      </c>
      <c r="F14" t="s">
        <v>30</v>
      </c>
    </row>
    <row r="15" spans="1:6">
      <c r="A15" t="s">
        <v>103</v>
      </c>
      <c r="B15">
        <f>'Order calculation'!E15</f>
        <v>4</v>
      </c>
      <c r="C15" t="s">
        <v>104</v>
      </c>
      <c r="D15" t="s">
        <v>88</v>
      </c>
      <c r="E15" t="s">
        <v>102</v>
      </c>
      <c r="F15" t="s">
        <v>30</v>
      </c>
    </row>
    <row r="16" spans="1:6">
      <c r="A16" t="s">
        <v>109</v>
      </c>
      <c r="B16">
        <f>'Order calculation'!E16</f>
        <v>1</v>
      </c>
      <c r="C16" t="s">
        <v>113</v>
      </c>
      <c r="D16" t="s">
        <v>88</v>
      </c>
      <c r="E16" t="s">
        <v>108</v>
      </c>
      <c r="F16" t="s">
        <v>87</v>
      </c>
    </row>
    <row r="17" spans="1:6">
      <c r="A17" t="s">
        <v>115</v>
      </c>
      <c r="B17">
        <f>'Order calculation'!E17</f>
        <v>1</v>
      </c>
      <c r="C17" t="s">
        <v>116</v>
      </c>
      <c r="D17" t="s">
        <v>88</v>
      </c>
      <c r="E17" t="s">
        <v>114</v>
      </c>
      <c r="F17" t="s">
        <v>30</v>
      </c>
    </row>
    <row r="18" spans="1:6">
      <c r="A18" t="s">
        <v>120</v>
      </c>
      <c r="B18">
        <f>'Order calculation'!E18</f>
        <v>2</v>
      </c>
      <c r="C18" t="s">
        <v>121</v>
      </c>
      <c r="D18" t="s">
        <v>88</v>
      </c>
      <c r="E18" t="s">
        <v>119</v>
      </c>
      <c r="F18" t="s">
        <v>30</v>
      </c>
    </row>
    <row r="19" spans="1:6">
      <c r="A19" t="s">
        <v>125</v>
      </c>
      <c r="B19">
        <f>'Order calculation'!E19</f>
        <v>1</v>
      </c>
      <c r="C19" t="s">
        <v>126</v>
      </c>
      <c r="D19" t="s">
        <v>127</v>
      </c>
      <c r="E19" t="s">
        <v>124</v>
      </c>
      <c r="F19" t="s">
        <v>30</v>
      </c>
    </row>
    <row r="20" spans="1:6">
      <c r="A20" t="s">
        <v>131</v>
      </c>
      <c r="B20">
        <f>'Order calculation'!E20</f>
        <v>11</v>
      </c>
      <c r="C20" t="s">
        <v>132</v>
      </c>
      <c r="D20" t="s">
        <v>133</v>
      </c>
      <c r="E20" t="s">
        <v>130</v>
      </c>
      <c r="F20" t="s">
        <v>30</v>
      </c>
    </row>
    <row r="21" spans="1:6">
      <c r="A21" t="s">
        <v>137</v>
      </c>
      <c r="B21">
        <f>'Order calculation'!E21</f>
        <v>1</v>
      </c>
      <c r="C21" t="s">
        <v>138</v>
      </c>
      <c r="D21" t="s">
        <v>133</v>
      </c>
      <c r="E21" t="s">
        <v>136</v>
      </c>
      <c r="F21" t="s">
        <v>30</v>
      </c>
    </row>
    <row r="22" spans="1:6">
      <c r="A22" t="s">
        <v>142</v>
      </c>
      <c r="B22">
        <f>'Order calculation'!E22</f>
        <v>1</v>
      </c>
      <c r="C22" t="s">
        <v>143</v>
      </c>
      <c r="D22" t="s">
        <v>133</v>
      </c>
      <c r="E22" t="s">
        <v>141</v>
      </c>
      <c r="F22" t="s">
        <v>30</v>
      </c>
    </row>
    <row r="23" spans="1:6">
      <c r="A23" t="s">
        <v>147</v>
      </c>
      <c r="B23">
        <f>'Order calculation'!E23</f>
        <v>2</v>
      </c>
      <c r="C23" t="s">
        <v>148</v>
      </c>
      <c r="D23" t="s">
        <v>133</v>
      </c>
      <c r="E23" t="s">
        <v>146</v>
      </c>
      <c r="F23" t="s">
        <v>30</v>
      </c>
    </row>
    <row r="24" spans="1:6">
      <c r="A24" t="s">
        <v>151</v>
      </c>
      <c r="B24">
        <f>'Order calculation'!E24</f>
        <v>1</v>
      </c>
      <c r="C24" t="s">
        <v>152</v>
      </c>
      <c r="D24" t="s">
        <v>153</v>
      </c>
      <c r="E24" t="s">
        <v>150</v>
      </c>
      <c r="F24" t="s">
        <v>30</v>
      </c>
    </row>
    <row r="25" spans="1:6">
      <c r="A25" t="s">
        <v>157</v>
      </c>
      <c r="B25">
        <f>'Order calculation'!E25</f>
        <v>1</v>
      </c>
      <c r="C25" t="s">
        <v>158</v>
      </c>
      <c r="D25" t="s">
        <v>159</v>
      </c>
      <c r="E25" t="s">
        <v>156</v>
      </c>
      <c r="F25" t="s">
        <v>30</v>
      </c>
    </row>
    <row r="26" spans="1:6">
      <c r="A26" t="s">
        <v>162</v>
      </c>
      <c r="B26">
        <f>'Order calculation'!E26</f>
        <v>1</v>
      </c>
      <c r="C26" t="s">
        <v>163</v>
      </c>
      <c r="D26" t="s">
        <v>159</v>
      </c>
      <c r="E26" t="s">
        <v>161</v>
      </c>
      <c r="F26" t="s">
        <v>30</v>
      </c>
    </row>
    <row r="27" spans="1:6">
      <c r="A27" t="s">
        <v>166</v>
      </c>
      <c r="B27">
        <f>'Order calculation'!E27</f>
        <v>2</v>
      </c>
      <c r="C27" t="s">
        <v>167</v>
      </c>
      <c r="D27" t="s">
        <v>159</v>
      </c>
      <c r="E27" t="s">
        <v>165</v>
      </c>
      <c r="F27" t="s">
        <v>30</v>
      </c>
    </row>
    <row r="28" spans="1:6">
      <c r="A28" t="s">
        <v>171</v>
      </c>
      <c r="B28">
        <f>'Order calculation'!E28</f>
        <v>8</v>
      </c>
      <c r="C28" t="s">
        <v>176</v>
      </c>
      <c r="D28" t="s">
        <v>133</v>
      </c>
      <c r="E28" t="s">
        <v>170</v>
      </c>
      <c r="F28" t="s">
        <v>87</v>
      </c>
    </row>
    <row r="29" spans="1:6">
      <c r="A29" t="s">
        <v>178</v>
      </c>
      <c r="B29">
        <f>'Order calculation'!E29</f>
        <v>3</v>
      </c>
      <c r="C29" t="s">
        <v>179</v>
      </c>
      <c r="D29" t="s">
        <v>180</v>
      </c>
      <c r="E29" t="s">
        <v>177</v>
      </c>
      <c r="F29" t="s">
        <v>30</v>
      </c>
    </row>
    <row r="30" spans="1:6">
      <c r="A30" t="s">
        <v>184</v>
      </c>
      <c r="B30">
        <f>'Order calculation'!E30</f>
        <v>17</v>
      </c>
      <c r="C30" t="s">
        <v>185</v>
      </c>
      <c r="D30" t="s">
        <v>88</v>
      </c>
      <c r="E30" t="s">
        <v>183</v>
      </c>
      <c r="F30" t="s">
        <v>30</v>
      </c>
    </row>
    <row r="31" spans="1:6">
      <c r="A31" t="s">
        <v>189</v>
      </c>
      <c r="B31">
        <f>'Order calculation'!E31</f>
        <v>8</v>
      </c>
      <c r="C31" t="s">
        <v>190</v>
      </c>
      <c r="D31" t="s">
        <v>191</v>
      </c>
      <c r="E31" t="s">
        <v>188</v>
      </c>
      <c r="F31" t="s">
        <v>30</v>
      </c>
    </row>
    <row r="32" spans="1:6">
      <c r="A32" t="s">
        <v>195</v>
      </c>
      <c r="B32">
        <f>'Order calculation'!E32</f>
        <v>1</v>
      </c>
      <c r="C32" t="s">
        <v>196</v>
      </c>
      <c r="D32" t="s">
        <v>191</v>
      </c>
      <c r="E32" t="s">
        <v>194</v>
      </c>
      <c r="F32" t="s">
        <v>30</v>
      </c>
    </row>
    <row r="33" spans="1:6">
      <c r="A33" t="s">
        <v>200</v>
      </c>
      <c r="B33">
        <f>'Order calculation'!E33</f>
        <v>2</v>
      </c>
      <c r="C33" t="s">
        <v>201</v>
      </c>
      <c r="D33" t="s">
        <v>64</v>
      </c>
      <c r="E33" t="s">
        <v>199</v>
      </c>
      <c r="F33" t="s">
        <v>30</v>
      </c>
    </row>
    <row r="34" spans="1:6">
      <c r="A34" t="s">
        <v>205</v>
      </c>
      <c r="B34">
        <f>'Order calculation'!E34</f>
        <v>1</v>
      </c>
      <c r="C34" t="s">
        <v>206</v>
      </c>
      <c r="D34" t="s">
        <v>64</v>
      </c>
      <c r="E34" t="s">
        <v>204</v>
      </c>
      <c r="F34" t="s">
        <v>30</v>
      </c>
    </row>
    <row r="35" spans="1:6">
      <c r="A35" t="s">
        <v>210</v>
      </c>
      <c r="B35">
        <f>'Order calculation'!E35</f>
        <v>17</v>
      </c>
      <c r="C35" t="s">
        <v>211</v>
      </c>
      <c r="D35" t="s">
        <v>88</v>
      </c>
      <c r="E35" t="s">
        <v>209</v>
      </c>
      <c r="F35" t="s">
        <v>30</v>
      </c>
    </row>
  </sheetData>
  <autoFilter ref="A1:F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Order calculation</vt:lpstr>
      <vt:lpstr>DigiKey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2026-10-24T12:24:52Z</dcterms:created>
  <dcterms:modified xsi:type="dcterms:W3CDTF">2026-10-24T12:24:52Z</dcterms:modified>
</cp:coreProperties>
</file>